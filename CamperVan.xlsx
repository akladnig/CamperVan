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adrian/Documents/Campervan/"/>
    </mc:Choice>
  </mc:AlternateContent>
  <xr:revisionPtr revIDLastSave="0" documentId="13_ncr:1_{A47BDCB6-0D5B-9340-BF91-BFAD0B573B9E}" xr6:coauthVersionLast="47" xr6:coauthVersionMax="47" xr10:uidLastSave="{00000000-0000-0000-0000-000000000000}"/>
  <bookViews>
    <workbookView xWindow="0" yWindow="780" windowWidth="34200" windowHeight="21360" xr2:uid="{32DB9825-7707-5644-AF59-E2F85CFFFB5B}"/>
  </bookViews>
  <sheets>
    <sheet name="Summary" sheetId="1" r:id="rId1"/>
    <sheet name="Van Specs" sheetId="3" r:id="rId2"/>
    <sheet name="SofaBed" sheetId="4" r:id="rId3"/>
    <sheet name="Ply" sheetId="6" r:id="rId4"/>
    <sheet name="Electrical"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7" i="1"/>
  <c r="G38" i="1"/>
  <c r="G56" i="1"/>
  <c r="G55" i="1"/>
  <c r="G9" i="1"/>
  <c r="G20" i="1"/>
  <c r="G31" i="1"/>
  <c r="F32" i="1"/>
  <c r="G32" i="1" s="1"/>
  <c r="G24" i="1"/>
  <c r="G25" i="1"/>
  <c r="G26" i="1"/>
  <c r="G46" i="1"/>
  <c r="G47" i="1"/>
  <c r="G48" i="1"/>
  <c r="G29" i="1"/>
  <c r="G30" i="1"/>
  <c r="G28" i="1"/>
  <c r="I28" i="1"/>
  <c r="G6" i="1"/>
  <c r="G35" i="1"/>
  <c r="C2" i="7"/>
  <c r="D2" i="7"/>
  <c r="E2" i="7" s="1"/>
  <c r="E12" i="7" s="1"/>
  <c r="F2" i="7"/>
  <c r="E3" i="7"/>
  <c r="F3" i="7"/>
  <c r="C4" i="7"/>
  <c r="K2" i="7" s="1"/>
  <c r="E4" i="7"/>
  <c r="C5" i="7"/>
  <c r="E5" i="7"/>
  <c r="F5" i="7"/>
  <c r="C6" i="7"/>
  <c r="E6" i="7"/>
  <c r="F6" i="7"/>
  <c r="E7" i="7"/>
  <c r="F7" i="7"/>
  <c r="E8" i="7"/>
  <c r="F8" i="7"/>
  <c r="E9" i="7"/>
  <c r="F9" i="7"/>
  <c r="C10" i="7"/>
  <c r="F10" i="7" s="1"/>
  <c r="E10" i="7"/>
  <c r="F4" i="7" l="1"/>
  <c r="F12" i="7" s="1"/>
  <c r="G42" i="1"/>
  <c r="G44" i="1"/>
  <c r="L19" i="4"/>
  <c r="L21" i="4" s="1"/>
  <c r="M21" i="4"/>
  <c r="H19" i="4"/>
  <c r="H18" i="4"/>
  <c r="L18" i="4"/>
  <c r="H15" i="4"/>
  <c r="H21" i="4" s="1"/>
  <c r="L5" i="4"/>
  <c r="L8" i="4" s="1"/>
  <c r="I8" i="4"/>
  <c r="I6" i="4"/>
  <c r="I9" i="4"/>
  <c r="J6" i="4"/>
  <c r="C28" i="4"/>
  <c r="C17" i="4"/>
  <c r="C16" i="4"/>
  <c r="C6" i="4"/>
  <c r="C7" i="4" s="1"/>
  <c r="C21" i="4" s="1"/>
  <c r="C23" i="4"/>
  <c r="C29" i="4" s="1"/>
  <c r="I32" i="1"/>
  <c r="G5" i="1"/>
  <c r="D7" i="3"/>
  <c r="E7" i="3" s="1"/>
  <c r="C3" i="3"/>
  <c r="B3" i="3"/>
  <c r="M14" i="7" l="1"/>
  <c r="F14" i="7"/>
  <c r="M15" i="7"/>
  <c r="L6" i="4"/>
  <c r="C8" i="4"/>
  <c r="C19" i="4" s="1"/>
  <c r="G18" i="1"/>
  <c r="G15" i="1"/>
  <c r="G14" i="1"/>
  <c r="G10" i="1"/>
  <c r="G4" i="1" s="1"/>
  <c r="G59" i="1"/>
  <c r="G16" i="1"/>
  <c r="G50" i="1"/>
  <c r="G37" i="1"/>
  <c r="G33" i="1"/>
  <c r="G27" i="1" s="1"/>
  <c r="G39" i="1"/>
  <c r="G40" i="1"/>
  <c r="G41" i="1"/>
  <c r="G58" i="1"/>
  <c r="G12" i="1"/>
  <c r="C16" i="7" l="1"/>
  <c r="C17" i="7"/>
  <c r="F17" i="7" s="1"/>
  <c r="C20" i="4"/>
  <c r="D26" i="4" s="1"/>
  <c r="D20" i="4"/>
  <c r="D25" i="4" s="1"/>
  <c r="C24" i="4"/>
  <c r="C25" i="4" s="1"/>
  <c r="G11" i="1"/>
  <c r="G13" i="1"/>
  <c r="G49" i="1"/>
  <c r="G36" i="1"/>
  <c r="E26" i="4" l="1"/>
  <c r="E28" i="4" s="1"/>
  <c r="D28" i="4"/>
  <c r="C26" i="4"/>
  <c r="C30" i="4" s="1"/>
  <c r="G3" i="1"/>
  <c r="G2" i="1" s="1"/>
</calcChain>
</file>

<file path=xl/sharedStrings.xml><?xml version="1.0" encoding="utf-8"?>
<sst xmlns="http://schemas.openxmlformats.org/spreadsheetml/2006/main" count="276" uniqueCount="223">
  <si>
    <t>Item</t>
  </si>
  <si>
    <t>Qty</t>
  </si>
  <si>
    <t>Cost</t>
  </si>
  <si>
    <t>Model</t>
  </si>
  <si>
    <t>Toilet</t>
  </si>
  <si>
    <t>Dometic</t>
  </si>
  <si>
    <t>Total</t>
  </si>
  <si>
    <t>Shower</t>
  </si>
  <si>
    <t>Fridge</t>
  </si>
  <si>
    <t>Sink with lid</t>
  </si>
  <si>
    <t>Fan</t>
  </si>
  <si>
    <t>Sirocco</t>
  </si>
  <si>
    <t>Elite</t>
  </si>
  <si>
    <t>Site</t>
  </si>
  <si>
    <t>Duoetto</t>
  </si>
  <si>
    <t>Mk2 digital 10L storage water heater</t>
  </si>
  <si>
    <t>Solar Panel</t>
  </si>
  <si>
    <t>Pump</t>
  </si>
  <si>
    <t>Jabsco</t>
  </si>
  <si>
    <t>11l/min</t>
  </si>
  <si>
    <t>Scandvik</t>
  </si>
  <si>
    <t>stainless steel transom shower</t>
  </si>
  <si>
    <t>https://www.desertcart.com.au/products/195915455-scandvik-12141-stainless-steel-recessed-transom-shower-with-mixer</t>
  </si>
  <si>
    <t>https://www.amazon.com.au/Scandvik-12124P-Vertical-Horizontal-Stainless/dp/B002IZBOFA</t>
  </si>
  <si>
    <t>Electrical and Solar</t>
  </si>
  <si>
    <t>Van</t>
  </si>
  <si>
    <t>Kitchen</t>
  </si>
  <si>
    <t>Shower and Toilet</t>
  </si>
  <si>
    <t>General</t>
  </si>
  <si>
    <t>Safiery</t>
  </si>
  <si>
    <t>Dual 1800 + 1500</t>
  </si>
  <si>
    <t>Sleeping</t>
  </si>
  <si>
    <t>Bed</t>
  </si>
  <si>
    <t>DIY</t>
  </si>
  <si>
    <t>Fitout</t>
  </si>
  <si>
    <t>Driving Lights</t>
  </si>
  <si>
    <t>Telco modem and antenna</t>
  </si>
  <si>
    <t>https://www.telcoantennas.com.au/telco-x1-pro/</t>
  </si>
  <si>
    <t>Induction Stove</t>
  </si>
  <si>
    <t>CRX80 - 78l</t>
  </si>
  <si>
    <t>640x475x538</t>
  </si>
  <si>
    <t>Bushman</t>
  </si>
  <si>
    <t>https://bushman.com.au/product/dc85x/</t>
  </si>
  <si>
    <t>DC85-X</t>
  </si>
  <si>
    <t>625x475x550</t>
  </si>
  <si>
    <t>https://www.ecopot.com.au/store/ecoheat-variable-induction/</t>
  </si>
  <si>
    <t>EcoHeat</t>
  </si>
  <si>
    <t>Single</t>
  </si>
  <si>
    <t>https://kombilife.com.au/products/vw-transporter-24-2-litre-wheel-arch-water-tank</t>
  </si>
  <si>
    <t>Tailgate Tent</t>
  </si>
  <si>
    <t>https://kombilife.com.au/collections/vw-transporter-swb-lwb-camping-4motion-accessories/products/vanshower-space-premium-tent-for-volkswagen-t5-t6-2004-2021</t>
  </si>
  <si>
    <t>Mattress Topper</t>
  </si>
  <si>
    <t>1350x1880 (double)</t>
  </si>
  <si>
    <t>Internal dimensions (LxW)</t>
  </si>
  <si>
    <t>Double Bed</t>
  </si>
  <si>
    <t>Balance</t>
  </si>
  <si>
    <t>Couch (Depth, Height)</t>
  </si>
  <si>
    <t>Depth</t>
  </si>
  <si>
    <t>Height</t>
  </si>
  <si>
    <t xml:space="preserve">Additional </t>
  </si>
  <si>
    <t>Couch Seat height</t>
  </si>
  <si>
    <t>Side Arms</t>
  </si>
  <si>
    <t xml:space="preserve">Mattress Thickness </t>
  </si>
  <si>
    <t>Pop Up</t>
  </si>
  <si>
    <t>Pop Top</t>
  </si>
  <si>
    <t>Toyota Hiace</t>
  </si>
  <si>
    <t>Devanti</t>
  </si>
  <si>
    <t>Smallest Bed</t>
  </si>
  <si>
    <t>Cargo Track</t>
  </si>
  <si>
    <t>McNaughtans</t>
  </si>
  <si>
    <t>ST6-1, L0212-34MM</t>
  </si>
  <si>
    <t>Hardware Master</t>
  </si>
  <si>
    <t>ozstrut</t>
  </si>
  <si>
    <t>agm electrical</t>
  </si>
  <si>
    <t>NewEntor</t>
  </si>
  <si>
    <t>Water storage</t>
  </si>
  <si>
    <t>SNG 4244, VA8006</t>
  </si>
  <si>
    <t>Thetford</t>
  </si>
  <si>
    <t>414x383x427</t>
  </si>
  <si>
    <t>330x383x427</t>
  </si>
  <si>
    <t>Vetus</t>
  </si>
  <si>
    <t>40l</t>
  </si>
  <si>
    <t>364x472x362</t>
  </si>
  <si>
    <t>60l</t>
  </si>
  <si>
    <t>364x682x362</t>
  </si>
  <si>
    <t>CAN-SB</t>
  </si>
  <si>
    <t>https://www.theboatwarehouse.com.au/plumbing-sinks-toilets-pumps/waste-fresh-water-tanks/can-sb-drinking-water-tank-fittings/</t>
  </si>
  <si>
    <t>39l</t>
  </si>
  <si>
    <t>550x390x200</t>
  </si>
  <si>
    <t>57l</t>
  </si>
  <si>
    <t>550x390x290</t>
  </si>
  <si>
    <t>Renogy</t>
  </si>
  <si>
    <t>https://au.renogy.com/core-12v-24v-48v-100ah-deep-cycle-lithium-iron-phosphate-battery/?irclickid=Wj9z3x0gwxycWx514LQo4Q7kUks3GnSlqzlfSc0&amp;irgwc=1&amp;partner=JourneyVanBuilds&amp;mpid=5804032&amp;group=</t>
  </si>
  <si>
    <t>bed length</t>
  </si>
  <si>
    <t>mattress width</t>
  </si>
  <si>
    <t>seat width</t>
  </si>
  <si>
    <t>467x212x208</t>
  </si>
  <si>
    <t>d</t>
  </si>
  <si>
    <t>f</t>
  </si>
  <si>
    <t>a</t>
  </si>
  <si>
    <t>w</t>
  </si>
  <si>
    <t>g</t>
  </si>
  <si>
    <t>b</t>
  </si>
  <si>
    <t>sw</t>
  </si>
  <si>
    <t>angle</t>
  </si>
  <si>
    <t>sin</t>
  </si>
  <si>
    <t>cos</t>
  </si>
  <si>
    <t>e</t>
  </si>
  <si>
    <t>c</t>
  </si>
  <si>
    <t>b+c</t>
  </si>
  <si>
    <t>x1</t>
  </si>
  <si>
    <t>x2</t>
  </si>
  <si>
    <t>radians</t>
  </si>
  <si>
    <t>x</t>
  </si>
  <si>
    <t>Known</t>
  </si>
  <si>
    <t>y1</t>
  </si>
  <si>
    <t>width</t>
  </si>
  <si>
    <t>313x</t>
  </si>
  <si>
    <t>https://www.bunnings.com.au/click-2-outlet-power-board-with-usb-charger_p0625543</t>
  </si>
  <si>
    <t>GPO</t>
  </si>
  <si>
    <t>gap</t>
  </si>
  <si>
    <t>radius</t>
  </si>
  <si>
    <t>n</t>
  </si>
  <si>
    <t>2r+g</t>
  </si>
  <si>
    <t>2*n*(r+g)</t>
  </si>
  <si>
    <t>offset</t>
  </si>
  <si>
    <t>y</t>
  </si>
  <si>
    <t>r</t>
  </si>
  <si>
    <t>38+15</t>
  </si>
  <si>
    <t>m</t>
  </si>
  <si>
    <t>Smarttek</t>
  </si>
  <si>
    <t>Black</t>
  </si>
  <si>
    <t>whd 300x440x150</t>
  </si>
  <si>
    <t>Joolca</t>
  </si>
  <si>
    <t>whd 290x450x170</t>
  </si>
  <si>
    <t>KickAss</t>
  </si>
  <si>
    <t>whd 300x490x150</t>
  </si>
  <si>
    <t>LC = L * W * MP</t>
  </si>
  <si>
    <t>F17</t>
  </si>
  <si>
    <t>Mpa</t>
  </si>
  <si>
    <t>Ply</t>
  </si>
  <si>
    <t>Weight</t>
  </si>
  <si>
    <t>Birch</t>
  </si>
  <si>
    <t>size</t>
  </si>
  <si>
    <t>Black lightweight</t>
  </si>
  <si>
    <t>In practice I found that not all batteries seem to give their 'C rating', so I didn't use this figure.</t>
  </si>
  <si>
    <t>In my example my minimum battery rating would be 0.4. As they are actually rated 1 then I am well within…</t>
  </si>
  <si>
    <t xml:space="preserve"> the battery can deliver as a constant current, rated from 0 to 1 , with 1 being 100% </t>
  </si>
  <si>
    <r>
      <t>The 'Min C Rating' is basically giving the same information as the 'hourly current draw'. I may have misunderstood this bit, but</t>
    </r>
    <r>
      <rPr>
        <b/>
        <sz val="11"/>
        <color theme="1"/>
        <rFont val="Calibri"/>
        <family val="2"/>
        <scheme val="minor"/>
      </rPr>
      <t xml:space="preserve"> I think</t>
    </r>
    <r>
      <rPr>
        <sz val="12"/>
        <color theme="1"/>
        <rFont val="Calibri"/>
        <family val="2"/>
        <scheme val="minor"/>
      </rPr>
      <t xml:space="preserve"> the 'C' rating is the proportion of its rated capacity</t>
    </r>
  </si>
  <si>
    <t>and this heavily influenced my battery choice.</t>
  </si>
  <si>
    <t xml:space="preserve">though they would be run flat in a couple of hours if this was the case. In my case this figure is high because of the microwave (remove that and it drops considerably), </t>
  </si>
  <si>
    <t>My Renogy batteries can apparently provide 100 amps of constant draw each (and because there are two in parallel this means 200 amps),</t>
  </si>
  <si>
    <t>Max Hourly Current Draw' (on the top right) is the draw should all of the appliances be used at once. The batteries needs to be able to handle that draw. The battery specs should state their constant current capabilities.</t>
  </si>
  <si>
    <t>Alternatively you can enter the battery size you are considering in the blue or brown boxes and it will give you an estimate of how long they will last before charging.</t>
  </si>
  <si>
    <t>Battery size calculation is based on Lithium providing 80% of its capacity (which may be conservative), and 50% of AGM.</t>
  </si>
  <si>
    <t>The battery size required for both AGM and Lithium will be shown in the orange and green boxes. By adjusting the figure in the yellow box up or down will alter the battery size required..</t>
  </si>
  <si>
    <t>Enter how many days power you require without charging in the yellow box.</t>
  </si>
  <si>
    <t>Put in hours/day the componant will be used, in worse case scenario (eg, I put in that the Maxxair fan could be running all night on low)</t>
  </si>
  <si>
    <t>Add and take away relevent Componants and their Watt ratings, the Amp value will work out automatically</t>
  </si>
  <si>
    <t>(Current draw)</t>
  </si>
  <si>
    <t>Min C Rating:</t>
  </si>
  <si>
    <t>Amp Hours</t>
  </si>
  <si>
    <t>Lithium</t>
  </si>
  <si>
    <t>AGM</t>
  </si>
  <si>
    <t>Battery Size Required</t>
  </si>
  <si>
    <t xml:space="preserve">Battery Size envisaged </t>
  </si>
  <si>
    <t>Total Amp Hours needed</t>
  </si>
  <si>
    <t># Days' Power (without charge)</t>
  </si>
  <si>
    <t># Days' Power</t>
  </si>
  <si>
    <t>Amp Hrs</t>
  </si>
  <si>
    <t>(2 Phones charging 5 hours)</t>
  </si>
  <si>
    <t>USB Outlets</t>
  </si>
  <si>
    <t>Gas Detector</t>
  </si>
  <si>
    <t>LED Lights</t>
  </si>
  <si>
    <t>10 mins</t>
  </si>
  <si>
    <t>Coffee Machine</t>
  </si>
  <si>
    <t>15 mins</t>
  </si>
  <si>
    <t>Hob</t>
  </si>
  <si>
    <t>20 mins</t>
  </si>
  <si>
    <t>AirFryer</t>
  </si>
  <si>
    <t>(Low Speed all night)</t>
  </si>
  <si>
    <t>MaxxAir Deluxe Fan</t>
  </si>
  <si>
    <t>Amps</t>
  </si>
  <si>
    <t>(Cycling 25%)</t>
  </si>
  <si>
    <t>Dometic CRX80 Fridge</t>
  </si>
  <si>
    <t>Max Hourly Current Draw</t>
  </si>
  <si>
    <t>Amp Hours/Day</t>
  </si>
  <si>
    <t>Watt Hours/Day</t>
  </si>
  <si>
    <t>Use (Hours of a day)</t>
  </si>
  <si>
    <t>Watts</t>
  </si>
  <si>
    <t>Componant</t>
  </si>
  <si>
    <t>Jacana</t>
  </si>
  <si>
    <t>Swivel Seat</t>
  </si>
  <si>
    <t>200W Panel</t>
  </si>
  <si>
    <t>200W Sinewave Inverter</t>
  </si>
  <si>
    <t>200A Battery</t>
  </si>
  <si>
    <t>DC-DC Battery Charger</t>
  </si>
  <si>
    <t>Shipping Costs</t>
  </si>
  <si>
    <t>Table</t>
  </si>
  <si>
    <t>Lagun</t>
  </si>
  <si>
    <t>https://www.bcaaust.com.au/product/lagun-folding-caravan-tables/</t>
  </si>
  <si>
    <t>Fire Extinguisher</t>
  </si>
  <si>
    <t>Sound System</t>
  </si>
  <si>
    <t>Tea Towel rack</t>
  </si>
  <si>
    <t>LED headlights</t>
  </si>
  <si>
    <t>Fly Screen</t>
  </si>
  <si>
    <t>Side Door</t>
  </si>
  <si>
    <t>https://www.sscampervans.com/shop/#!/Hiace-06-2019-on-LWB/c/38008111</t>
  </si>
  <si>
    <t>Solar Screen</t>
  </si>
  <si>
    <t>Stedi</t>
  </si>
  <si>
    <t>USB C</t>
  </si>
  <si>
    <t>https://www.switchboss.com.au/products/dual-type-c-usb-charger-round?variant=43255226597543&amp;country=AU&amp;currency=AUD&amp;cmc_adid=ga__18385255562</t>
  </si>
  <si>
    <t>Vans and Utes</t>
  </si>
  <si>
    <t>Gen3 digital 10L storage water heater</t>
  </si>
  <si>
    <t>450x275x265</t>
  </si>
  <si>
    <t>409x269x267</t>
  </si>
  <si>
    <t>k</t>
  </si>
  <si>
    <t>Bull Bar</t>
  </si>
  <si>
    <t>https://portal.ecb.com.au/products/toyota-hiace-bullbar-05-19-bt189sy?finish=textura-black</t>
  </si>
  <si>
    <t>Window</t>
  </si>
  <si>
    <t>https://aussietraveller.com.au/collections/eurovision-windows/products/eurovision-window-2</t>
  </si>
  <si>
    <t>Eurovision2</t>
  </si>
  <si>
    <t>300x700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</si>
</sst>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11" x14ac:knownFonts="1">
    <font>
      <sz val="12"/>
      <color theme="1"/>
      <name val="Calibri"/>
      <family val="2"/>
      <scheme val="minor"/>
    </font>
    <font>
      <b/>
      <sz val="12"/>
      <color theme="1"/>
      <name val="Calibri"/>
      <family val="2"/>
      <scheme val="minor"/>
    </font>
    <font>
      <u/>
      <sz val="12"/>
      <color theme="10"/>
      <name val="Calibri"/>
      <family val="2"/>
      <scheme val="minor"/>
    </font>
    <font>
      <sz val="22"/>
      <color theme="1"/>
      <name val="Calibri"/>
      <family val="2"/>
      <scheme val="minor"/>
    </font>
    <font>
      <sz val="8"/>
      <name val="Calibri"/>
      <family val="2"/>
      <scheme val="minor"/>
    </font>
    <font>
      <sz val="12"/>
      <color rgb="FF00610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sz val="12"/>
      <color rgb="FF9C570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rgb="FFC6EFCE"/>
      </patternFill>
    </fill>
    <fill>
      <patternFill patternType="solid">
        <fgColor rgb="FFFFC000"/>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rgb="FFFFFF00"/>
        <bgColor indexed="64"/>
      </patternFill>
    </fill>
    <fill>
      <patternFill patternType="solid">
        <f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applyNumberFormat="0" applyFill="0" applyBorder="0" applyAlignment="0" applyProtection="0"/>
    <xf numFmtId="0" fontId="5" fillId="3" borderId="0" applyNumberFormat="0" applyBorder="0" applyAlignment="0" applyProtection="0"/>
    <xf numFmtId="0" fontId="6" fillId="0" borderId="0"/>
    <xf numFmtId="0" fontId="10" fillId="8" borderId="0" applyNumberFormat="0" applyBorder="0" applyAlignment="0" applyProtection="0"/>
  </cellStyleXfs>
  <cellXfs count="35">
    <xf numFmtId="0" fontId="0" fillId="0" borderId="0" xfId="0"/>
    <xf numFmtId="0" fontId="2" fillId="0" borderId="0" xfId="1"/>
    <xf numFmtId="0" fontId="3" fillId="2" borderId="0" xfId="0" applyFont="1" applyFill="1"/>
    <xf numFmtId="0" fontId="0" fillId="2" borderId="0" xfId="0" applyFill="1"/>
    <xf numFmtId="0" fontId="2" fillId="2" borderId="0" xfId="1" applyFill="1"/>
    <xf numFmtId="164" fontId="1" fillId="0" borderId="0" xfId="0" applyNumberFormat="1" applyFont="1"/>
    <xf numFmtId="0" fontId="1" fillId="2" borderId="0" xfId="0" applyFont="1" applyFill="1"/>
    <xf numFmtId="0" fontId="5" fillId="3" borderId="0" xfId="2"/>
    <xf numFmtId="1" fontId="0" fillId="0" borderId="0" xfId="0" applyNumberFormat="1"/>
    <xf numFmtId="165" fontId="0" fillId="0" borderId="0" xfId="0" applyNumberFormat="1"/>
    <xf numFmtId="165" fontId="5" fillId="3" borderId="0" xfId="2" applyNumberFormat="1"/>
    <xf numFmtId="0" fontId="6" fillId="0" borderId="0" xfId="3"/>
    <xf numFmtId="0" fontId="6" fillId="0" borderId="0" xfId="3" quotePrefix="1"/>
    <xf numFmtId="0" fontId="8" fillId="0" borderId="0" xfId="3" applyFont="1"/>
    <xf numFmtId="165" fontId="6" fillId="0" borderId="0" xfId="3" applyNumberFormat="1"/>
    <xf numFmtId="0" fontId="6" fillId="0" borderId="0" xfId="3" applyAlignment="1">
      <alignment horizontal="left"/>
    </xf>
    <xf numFmtId="0" fontId="7" fillId="2" borderId="0" xfId="3" applyFont="1" applyFill="1"/>
    <xf numFmtId="0" fontId="7" fillId="4" borderId="0" xfId="3" applyFont="1" applyFill="1"/>
    <xf numFmtId="165" fontId="9" fillId="0" borderId="0" xfId="3" applyNumberFormat="1" applyFont="1"/>
    <xf numFmtId="0" fontId="7" fillId="5" borderId="0" xfId="3" applyFont="1" applyFill="1"/>
    <xf numFmtId="0" fontId="7" fillId="6" borderId="0" xfId="3" applyFont="1" applyFill="1"/>
    <xf numFmtId="0" fontId="6" fillId="0" borderId="0" xfId="3" applyAlignment="1">
      <alignment horizontal="right"/>
    </xf>
    <xf numFmtId="2" fontId="7" fillId="0" borderId="0" xfId="3" applyNumberFormat="1" applyFont="1"/>
    <xf numFmtId="0" fontId="7" fillId="0" borderId="0" xfId="3" applyFont="1" applyAlignment="1">
      <alignment horizontal="right"/>
    </xf>
    <xf numFmtId="0" fontId="7" fillId="7" borderId="0" xfId="3" applyFont="1" applyFill="1"/>
    <xf numFmtId="0" fontId="9" fillId="0" borderId="0" xfId="3" applyFont="1"/>
    <xf numFmtId="2" fontId="7" fillId="0" borderId="1" xfId="3" applyNumberFormat="1" applyFont="1" applyBorder="1"/>
    <xf numFmtId="0" fontId="7" fillId="0" borderId="0" xfId="3" applyFont="1"/>
    <xf numFmtId="0" fontId="6" fillId="0" borderId="1" xfId="3" applyBorder="1"/>
    <xf numFmtId="2" fontId="6" fillId="0" borderId="1" xfId="3" applyNumberFormat="1" applyBorder="1"/>
    <xf numFmtId="1" fontId="6" fillId="0" borderId="1" xfId="3" applyNumberFormat="1" applyBorder="1"/>
    <xf numFmtId="2" fontId="6" fillId="0" borderId="0" xfId="3" applyNumberFormat="1"/>
    <xf numFmtId="0" fontId="7" fillId="0" borderId="1" xfId="3" applyFont="1" applyBorder="1"/>
    <xf numFmtId="0" fontId="10" fillId="8" borderId="0" xfId="4"/>
    <xf numFmtId="165" fontId="10" fillId="8" borderId="0" xfId="4" applyNumberFormat="1"/>
  </cellXfs>
  <cellStyles count="5">
    <cellStyle name="Good" xfId="2" builtinId="26"/>
    <cellStyle name="Hyperlink" xfId="1" builtinId="8"/>
    <cellStyle name="Neutral" xfId="4" builtinId="28"/>
    <cellStyle name="Normal" xfId="0" builtinId="0"/>
    <cellStyle name="Normal 2" xfId="3" xr:uid="{123B9C09-DBF4-C94E-B00F-92A47902B4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ushman.com.au/product/dc85x/" TargetMode="External"/><Relationship Id="rId7" Type="http://schemas.openxmlformats.org/officeDocument/2006/relationships/hyperlink" Target="https://au.renogy.com/core-12v-24v-48v-100ah-deep-cycle-lithium-iron-phosphate-battery/?irclickid=Wj9z3x0gwxycWx514LQo4Q7kUks3GnSlqzlfSc0&amp;irgwc=1&amp;partner=JourneyVanBuilds&amp;mpid=5804032&amp;group=" TargetMode="External"/><Relationship Id="rId2" Type="http://schemas.openxmlformats.org/officeDocument/2006/relationships/hyperlink" Target="https://www.ecopot.com.au/store/ecoheat-variable-induction/" TargetMode="External"/><Relationship Id="rId1" Type="http://schemas.openxmlformats.org/officeDocument/2006/relationships/hyperlink" Target="https://www.telcoantennas.com.au/telco-x1-pro/" TargetMode="External"/><Relationship Id="rId6" Type="http://schemas.openxmlformats.org/officeDocument/2006/relationships/hyperlink" Target="https://www.bunnings.com.au/click-2-outlet-power-board-with-usb-charger_p0625543" TargetMode="External"/><Relationship Id="rId5" Type="http://schemas.openxmlformats.org/officeDocument/2006/relationships/hyperlink" Target="https://www.theboatwarehouse.com.au/plumbing-sinks-toilets-pumps/waste-fresh-water-tanks/can-sb-drinking-water-tank-fittings/" TargetMode="External"/><Relationship Id="rId4" Type="http://schemas.openxmlformats.org/officeDocument/2006/relationships/hyperlink" Target="https://kombilife.com.au/products/vw-transporter-24-2-litre-wheel-arch-water-tank"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C715-C7C4-1749-ABD4-2BCA46FA3CE6}">
  <dimension ref="A1:I67"/>
  <sheetViews>
    <sheetView tabSelected="1" workbookViewId="0">
      <selection activeCell="D11" sqref="D11"/>
    </sheetView>
  </sheetViews>
  <sheetFormatPr baseColWidth="10" defaultRowHeight="16" x14ac:dyDescent="0.2"/>
  <cols>
    <col min="1" max="1" width="14.83203125" bestFit="1" customWidth="1"/>
    <col min="2" max="2" width="12.33203125" bestFit="1" customWidth="1"/>
    <col min="3" max="4" width="28" customWidth="1"/>
    <col min="8" max="8" width="104.1640625" customWidth="1"/>
  </cols>
  <sheetData>
    <row r="1" spans="1:8" ht="29" x14ac:dyDescent="0.35">
      <c r="A1" s="2" t="s">
        <v>0</v>
      </c>
      <c r="B1" s="3"/>
      <c r="C1" s="3" t="s">
        <v>3</v>
      </c>
      <c r="D1" s="3"/>
      <c r="E1" s="3" t="s">
        <v>1</v>
      </c>
      <c r="F1" s="3" t="s">
        <v>2</v>
      </c>
      <c r="G1" s="6" t="s">
        <v>6</v>
      </c>
      <c r="H1" s="3" t="s">
        <v>13</v>
      </c>
    </row>
    <row r="2" spans="1:8" x14ac:dyDescent="0.2">
      <c r="A2" t="s">
        <v>6</v>
      </c>
      <c r="G2" s="5">
        <f>G4+G3</f>
        <v>82267.09</v>
      </c>
    </row>
    <row r="3" spans="1:8" x14ac:dyDescent="0.2">
      <c r="A3" t="s">
        <v>34</v>
      </c>
      <c r="G3" s="5">
        <f>G11+G13+G27+G36+G49+G59</f>
        <v>20448</v>
      </c>
    </row>
    <row r="4" spans="1:8" ht="29" x14ac:dyDescent="0.35">
      <c r="A4" s="2" t="s">
        <v>25</v>
      </c>
      <c r="B4" s="3"/>
      <c r="C4" s="3"/>
      <c r="D4" s="3"/>
      <c r="E4" s="3"/>
      <c r="F4" s="3"/>
      <c r="G4" s="6">
        <f>SUM(G5:G10)</f>
        <v>61819.09</v>
      </c>
      <c r="H4" s="3"/>
    </row>
    <row r="5" spans="1:8" x14ac:dyDescent="0.2">
      <c r="A5" t="s">
        <v>65</v>
      </c>
      <c r="E5">
        <v>1</v>
      </c>
      <c r="F5" s="7">
        <v>54500</v>
      </c>
      <c r="G5">
        <f>E5*F5</f>
        <v>54500</v>
      </c>
    </row>
    <row r="6" spans="1:8" x14ac:dyDescent="0.2">
      <c r="A6" t="s">
        <v>192</v>
      </c>
      <c r="E6">
        <v>1</v>
      </c>
      <c r="F6" s="7">
        <v>1609.09</v>
      </c>
      <c r="G6">
        <f>E6*F6</f>
        <v>1609.09</v>
      </c>
      <c r="H6" t="s">
        <v>212</v>
      </c>
    </row>
    <row r="7" spans="1:8" x14ac:dyDescent="0.2">
      <c r="A7" t="s">
        <v>217</v>
      </c>
      <c r="E7">
        <v>1</v>
      </c>
      <c r="F7">
        <v>3650</v>
      </c>
      <c r="G7">
        <f>E7*F7</f>
        <v>3650</v>
      </c>
      <c r="H7" t="s">
        <v>218</v>
      </c>
    </row>
    <row r="8" spans="1:8" x14ac:dyDescent="0.2">
      <c r="A8" t="s">
        <v>219</v>
      </c>
      <c r="C8" t="s">
        <v>221</v>
      </c>
      <c r="D8" t="s">
        <v>222</v>
      </c>
      <c r="E8">
        <v>1</v>
      </c>
      <c r="F8">
        <v>465</v>
      </c>
      <c r="G8">
        <f>E8*F8</f>
        <v>465</v>
      </c>
      <c r="H8" t="s">
        <v>220</v>
      </c>
    </row>
    <row r="9" spans="1:8" x14ac:dyDescent="0.2">
      <c r="A9" t="s">
        <v>204</v>
      </c>
      <c r="E9">
        <v>1</v>
      </c>
      <c r="F9">
        <v>155</v>
      </c>
      <c r="G9">
        <f>E9*F9</f>
        <v>155</v>
      </c>
    </row>
    <row r="10" spans="1:8" x14ac:dyDescent="0.2">
      <c r="A10" t="s">
        <v>35</v>
      </c>
      <c r="B10" t="s">
        <v>209</v>
      </c>
      <c r="E10">
        <v>1</v>
      </c>
      <c r="F10">
        <v>1440</v>
      </c>
      <c r="G10">
        <f>E10*F10</f>
        <v>1440</v>
      </c>
    </row>
    <row r="11" spans="1:8" ht="29" x14ac:dyDescent="0.35">
      <c r="A11" s="2" t="s">
        <v>63</v>
      </c>
      <c r="B11" s="3"/>
      <c r="C11" s="3"/>
      <c r="D11" s="3"/>
      <c r="E11" s="3"/>
      <c r="F11" s="3"/>
      <c r="G11" s="6">
        <f>SUM(G12:G12)</f>
        <v>11450</v>
      </c>
      <c r="H11" s="3"/>
    </row>
    <row r="12" spans="1:8" x14ac:dyDescent="0.2">
      <c r="A12" t="s">
        <v>64</v>
      </c>
      <c r="B12" t="s">
        <v>191</v>
      </c>
      <c r="C12">
        <v>21075</v>
      </c>
      <c r="E12">
        <v>1</v>
      </c>
      <c r="F12">
        <v>11450</v>
      </c>
      <c r="G12">
        <f>E12*F12</f>
        <v>11450</v>
      </c>
    </row>
    <row r="13" spans="1:8" ht="29" x14ac:dyDescent="0.35">
      <c r="A13" s="2" t="s">
        <v>26</v>
      </c>
      <c r="B13" s="3"/>
      <c r="C13" s="3"/>
      <c r="D13" s="3"/>
      <c r="E13" s="3"/>
      <c r="F13" s="3"/>
      <c r="G13" s="6">
        <f>SUM(G14:G26)</f>
        <v>3254.98</v>
      </c>
      <c r="H13" s="3"/>
    </row>
    <row r="14" spans="1:8" x14ac:dyDescent="0.2">
      <c r="A14" t="s">
        <v>8</v>
      </c>
      <c r="B14" t="s">
        <v>5</v>
      </c>
      <c r="C14" t="s">
        <v>39</v>
      </c>
      <c r="D14" t="s">
        <v>40</v>
      </c>
      <c r="E14">
        <v>0</v>
      </c>
      <c r="F14">
        <v>1809</v>
      </c>
      <c r="G14">
        <f t="shared" ref="G14" si="0">E14*F14</f>
        <v>0</v>
      </c>
    </row>
    <row r="15" spans="1:8" x14ac:dyDescent="0.2">
      <c r="A15" t="s">
        <v>8</v>
      </c>
      <c r="B15" t="s">
        <v>41</v>
      </c>
      <c r="C15" t="s">
        <v>43</v>
      </c>
      <c r="D15" t="s">
        <v>44</v>
      </c>
      <c r="E15">
        <v>1</v>
      </c>
      <c r="F15">
        <v>1495</v>
      </c>
      <c r="G15">
        <f>E15*F15</f>
        <v>1495</v>
      </c>
      <c r="H15" s="1" t="s">
        <v>42</v>
      </c>
    </row>
    <row r="16" spans="1:8" x14ac:dyDescent="0.2">
      <c r="A16" t="s">
        <v>38</v>
      </c>
      <c r="B16" t="s">
        <v>29</v>
      </c>
      <c r="C16" t="s">
        <v>30</v>
      </c>
      <c r="E16">
        <v>1</v>
      </c>
      <c r="F16">
        <v>817.27</v>
      </c>
      <c r="G16">
        <f t="shared" ref="G16:G20" si="1">E16*F16</f>
        <v>817.27</v>
      </c>
    </row>
    <row r="17" spans="1:9" x14ac:dyDescent="0.2">
      <c r="A17" t="s">
        <v>38</v>
      </c>
      <c r="B17" t="s">
        <v>29</v>
      </c>
      <c r="C17" t="s">
        <v>47</v>
      </c>
    </row>
    <row r="18" spans="1:9" x14ac:dyDescent="0.2">
      <c r="A18" t="s">
        <v>38</v>
      </c>
      <c r="B18" t="s">
        <v>46</v>
      </c>
      <c r="C18" t="s">
        <v>47</v>
      </c>
      <c r="E18">
        <v>0</v>
      </c>
      <c r="F18">
        <v>379</v>
      </c>
      <c r="G18">
        <f t="shared" si="1"/>
        <v>0</v>
      </c>
      <c r="H18" s="1" t="s">
        <v>45</v>
      </c>
    </row>
    <row r="19" spans="1:9" x14ac:dyDescent="0.2">
      <c r="A19" t="s">
        <v>38</v>
      </c>
      <c r="B19" t="s">
        <v>66</v>
      </c>
      <c r="H19" s="1"/>
    </row>
    <row r="20" spans="1:9" x14ac:dyDescent="0.2">
      <c r="A20" t="s">
        <v>198</v>
      </c>
      <c r="B20" t="s">
        <v>199</v>
      </c>
      <c r="E20">
        <v>1</v>
      </c>
      <c r="F20">
        <v>352</v>
      </c>
      <c r="G20">
        <f t="shared" si="1"/>
        <v>352</v>
      </c>
      <c r="H20" s="1" t="s">
        <v>200</v>
      </c>
    </row>
    <row r="21" spans="1:9" x14ac:dyDescent="0.2">
      <c r="A21" t="s">
        <v>75</v>
      </c>
      <c r="B21" t="s">
        <v>80</v>
      </c>
      <c r="C21" t="s">
        <v>81</v>
      </c>
      <c r="D21" t="s">
        <v>82</v>
      </c>
    </row>
    <row r="22" spans="1:9" x14ac:dyDescent="0.2">
      <c r="A22" t="s">
        <v>75</v>
      </c>
      <c r="B22" t="s">
        <v>80</v>
      </c>
      <c r="C22" t="s">
        <v>83</v>
      </c>
      <c r="D22" t="s">
        <v>84</v>
      </c>
    </row>
    <row r="23" spans="1:9" x14ac:dyDescent="0.2">
      <c r="A23" t="s">
        <v>75</v>
      </c>
      <c r="B23" t="s">
        <v>85</v>
      </c>
      <c r="C23" t="s">
        <v>87</v>
      </c>
      <c r="D23" t="s">
        <v>88</v>
      </c>
      <c r="H23" t="s">
        <v>86</v>
      </c>
    </row>
    <row r="24" spans="1:9" x14ac:dyDescent="0.2">
      <c r="A24" t="s">
        <v>75</v>
      </c>
      <c r="B24" t="s">
        <v>85</v>
      </c>
      <c r="C24" t="s">
        <v>89</v>
      </c>
      <c r="D24" t="s">
        <v>90</v>
      </c>
      <c r="E24">
        <v>1</v>
      </c>
      <c r="F24">
        <v>273.41000000000003</v>
      </c>
      <c r="G24">
        <f t="shared" ref="G24:G26" si="2">E24*F24</f>
        <v>273.41000000000003</v>
      </c>
      <c r="H24" s="1" t="s">
        <v>86</v>
      </c>
    </row>
    <row r="25" spans="1:9" x14ac:dyDescent="0.2">
      <c r="A25" t="s">
        <v>75</v>
      </c>
      <c r="G25">
        <f t="shared" si="2"/>
        <v>0</v>
      </c>
      <c r="H25" s="1" t="s">
        <v>48</v>
      </c>
    </row>
    <row r="26" spans="1:9" x14ac:dyDescent="0.2">
      <c r="A26" t="s">
        <v>9</v>
      </c>
      <c r="B26" t="s">
        <v>5</v>
      </c>
      <c r="C26" t="s">
        <v>76</v>
      </c>
      <c r="E26">
        <v>1</v>
      </c>
      <c r="F26" s="7">
        <v>317.3</v>
      </c>
      <c r="G26">
        <f t="shared" si="2"/>
        <v>317.3</v>
      </c>
    </row>
    <row r="27" spans="1:9" ht="29" x14ac:dyDescent="0.35">
      <c r="A27" s="2" t="s">
        <v>24</v>
      </c>
      <c r="B27" s="3"/>
      <c r="C27" s="3"/>
      <c r="D27" s="3"/>
      <c r="E27" s="3"/>
      <c r="F27" s="3"/>
      <c r="G27" s="6">
        <f>SUM(G28:G35)</f>
        <v>3722.02</v>
      </c>
      <c r="H27" s="3"/>
    </row>
    <row r="28" spans="1:9" x14ac:dyDescent="0.2">
      <c r="B28" t="s">
        <v>91</v>
      </c>
      <c r="C28" t="s">
        <v>195</v>
      </c>
      <c r="D28" t="s">
        <v>96</v>
      </c>
      <c r="E28">
        <v>2</v>
      </c>
      <c r="F28" s="7">
        <v>958.99</v>
      </c>
      <c r="G28">
        <f t="shared" ref="G28:G58" si="3">E28*F28</f>
        <v>1917.98</v>
      </c>
      <c r="H28" s="1" t="s">
        <v>92</v>
      </c>
      <c r="I28">
        <f>21.1*16.9*26</f>
        <v>9271.34</v>
      </c>
    </row>
    <row r="29" spans="1:9" x14ac:dyDescent="0.2">
      <c r="B29" t="s">
        <v>91</v>
      </c>
      <c r="C29" t="s">
        <v>194</v>
      </c>
      <c r="E29">
        <v>1</v>
      </c>
      <c r="F29" s="7">
        <v>334.99</v>
      </c>
      <c r="G29">
        <f t="shared" si="3"/>
        <v>334.99</v>
      </c>
      <c r="H29" s="1"/>
    </row>
    <row r="30" spans="1:9" x14ac:dyDescent="0.2">
      <c r="B30" t="s">
        <v>91</v>
      </c>
      <c r="C30" t="s">
        <v>196</v>
      </c>
      <c r="E30">
        <v>1</v>
      </c>
      <c r="F30" s="7">
        <v>649.99</v>
      </c>
      <c r="G30">
        <f t="shared" si="3"/>
        <v>649.99</v>
      </c>
      <c r="H30" s="1"/>
    </row>
    <row r="31" spans="1:9" x14ac:dyDescent="0.2">
      <c r="G31">
        <f t="shared" si="3"/>
        <v>0</v>
      </c>
      <c r="H31" s="1"/>
    </row>
    <row r="32" spans="1:9" x14ac:dyDescent="0.2">
      <c r="B32" t="s">
        <v>91</v>
      </c>
      <c r="C32" t="s">
        <v>197</v>
      </c>
      <c r="E32">
        <v>1</v>
      </c>
      <c r="F32" s="7">
        <f>72.71+26.37</f>
        <v>99.08</v>
      </c>
      <c r="G32">
        <f t="shared" si="3"/>
        <v>99.08</v>
      </c>
      <c r="H32" s="1"/>
      <c r="I32">
        <f>46.7*21.2*20.8</f>
        <v>20592.832000000002</v>
      </c>
    </row>
    <row r="33" spans="1:8" x14ac:dyDescent="0.2">
      <c r="A33" t="s">
        <v>16</v>
      </c>
      <c r="B33" t="s">
        <v>91</v>
      </c>
      <c r="C33" t="s">
        <v>193</v>
      </c>
      <c r="E33">
        <v>2</v>
      </c>
      <c r="F33" s="7">
        <v>349.99</v>
      </c>
      <c r="G33">
        <f>E33*F33</f>
        <v>699.98</v>
      </c>
      <c r="H33" s="1"/>
    </row>
    <row r="34" spans="1:8" x14ac:dyDescent="0.2">
      <c r="A34" t="s">
        <v>210</v>
      </c>
      <c r="E34">
        <v>2</v>
      </c>
      <c r="H34" s="1" t="s">
        <v>211</v>
      </c>
    </row>
    <row r="35" spans="1:8" x14ac:dyDescent="0.2">
      <c r="A35" t="s">
        <v>119</v>
      </c>
      <c r="E35">
        <v>1</v>
      </c>
      <c r="F35" s="7">
        <v>20</v>
      </c>
      <c r="G35">
        <f>E35*F35</f>
        <v>20</v>
      </c>
      <c r="H35" s="1" t="s">
        <v>118</v>
      </c>
    </row>
    <row r="36" spans="1:8" ht="29" x14ac:dyDescent="0.35">
      <c r="A36" s="2" t="s">
        <v>27</v>
      </c>
      <c r="B36" s="3"/>
      <c r="C36" s="3"/>
      <c r="D36" s="3"/>
      <c r="E36" s="3"/>
      <c r="F36" s="3"/>
      <c r="G36" s="6">
        <f>SUM(G37:G48)</f>
        <v>558</v>
      </c>
      <c r="H36" s="4"/>
    </row>
    <row r="37" spans="1:8" x14ac:dyDescent="0.2">
      <c r="B37" t="s">
        <v>14</v>
      </c>
      <c r="C37" t="s">
        <v>213</v>
      </c>
      <c r="D37" t="s">
        <v>214</v>
      </c>
      <c r="E37">
        <v>0</v>
      </c>
      <c r="F37">
        <v>730</v>
      </c>
      <c r="G37">
        <f t="shared" si="3"/>
        <v>0</v>
      </c>
    </row>
    <row r="38" spans="1:8" x14ac:dyDescent="0.2">
      <c r="B38" t="s">
        <v>14</v>
      </c>
      <c r="C38" t="s">
        <v>15</v>
      </c>
      <c r="D38" t="s">
        <v>215</v>
      </c>
      <c r="E38">
        <v>0</v>
      </c>
      <c r="F38">
        <v>425</v>
      </c>
      <c r="G38">
        <f t="shared" ref="G38" si="4">E38*F38</f>
        <v>0</v>
      </c>
    </row>
    <row r="39" spans="1:8" x14ac:dyDescent="0.2">
      <c r="A39" t="s">
        <v>17</v>
      </c>
      <c r="B39" t="s">
        <v>18</v>
      </c>
      <c r="C39" t="s">
        <v>19</v>
      </c>
      <c r="E39">
        <v>0</v>
      </c>
      <c r="F39">
        <v>247</v>
      </c>
      <c r="G39">
        <f t="shared" si="3"/>
        <v>0</v>
      </c>
    </row>
    <row r="40" spans="1:8" x14ac:dyDescent="0.2">
      <c r="A40" t="s">
        <v>7</v>
      </c>
      <c r="B40" t="s">
        <v>20</v>
      </c>
      <c r="C40" t="s">
        <v>21</v>
      </c>
      <c r="E40">
        <v>0</v>
      </c>
      <c r="F40">
        <v>935</v>
      </c>
      <c r="G40">
        <f t="shared" si="3"/>
        <v>0</v>
      </c>
      <c r="H40" t="s">
        <v>22</v>
      </c>
    </row>
    <row r="41" spans="1:8" x14ac:dyDescent="0.2">
      <c r="A41" t="s">
        <v>7</v>
      </c>
      <c r="B41" t="s">
        <v>20</v>
      </c>
      <c r="C41" t="s">
        <v>21</v>
      </c>
      <c r="E41">
        <v>0</v>
      </c>
      <c r="F41">
        <v>229</v>
      </c>
      <c r="G41">
        <f t="shared" si="3"/>
        <v>0</v>
      </c>
      <c r="H41" t="s">
        <v>23</v>
      </c>
    </row>
    <row r="42" spans="1:8" x14ac:dyDescent="0.2">
      <c r="A42" t="s">
        <v>7</v>
      </c>
      <c r="B42" t="s">
        <v>130</v>
      </c>
      <c r="C42" t="s">
        <v>131</v>
      </c>
      <c r="D42" t="s">
        <v>132</v>
      </c>
      <c r="E42">
        <v>0</v>
      </c>
      <c r="F42">
        <v>299</v>
      </c>
      <c r="G42">
        <f t="shared" ref="G42:G44" si="5">E42*F42</f>
        <v>0</v>
      </c>
    </row>
    <row r="43" spans="1:8" x14ac:dyDescent="0.2">
      <c r="A43" t="s">
        <v>7</v>
      </c>
      <c r="B43" t="s">
        <v>135</v>
      </c>
      <c r="D43" t="s">
        <v>136</v>
      </c>
      <c r="F43">
        <v>330</v>
      </c>
    </row>
    <row r="44" spans="1:8" x14ac:dyDescent="0.2">
      <c r="A44" t="s">
        <v>7</v>
      </c>
      <c r="B44" t="s">
        <v>133</v>
      </c>
      <c r="D44" t="s">
        <v>134</v>
      </c>
      <c r="E44">
        <v>1</v>
      </c>
      <c r="F44">
        <v>399</v>
      </c>
      <c r="G44">
        <f t="shared" si="5"/>
        <v>399</v>
      </c>
    </row>
    <row r="45" spans="1:8" x14ac:dyDescent="0.2">
      <c r="A45" t="s">
        <v>49</v>
      </c>
      <c r="H45" t="s">
        <v>50</v>
      </c>
    </row>
    <row r="46" spans="1:8" x14ac:dyDescent="0.2">
      <c r="A46" t="s">
        <v>4</v>
      </c>
      <c r="B46" t="s">
        <v>77</v>
      </c>
      <c r="C46">
        <v>365</v>
      </c>
      <c r="D46" t="s">
        <v>78</v>
      </c>
      <c r="G46">
        <f t="shared" ref="G46:G48" si="6">E46*F46</f>
        <v>0</v>
      </c>
    </row>
    <row r="47" spans="1:8" x14ac:dyDescent="0.2">
      <c r="A47" t="s">
        <v>4</v>
      </c>
      <c r="B47" t="s">
        <v>77</v>
      </c>
      <c r="C47">
        <v>345</v>
      </c>
      <c r="D47" t="s">
        <v>79</v>
      </c>
      <c r="E47">
        <v>1</v>
      </c>
      <c r="F47">
        <v>159</v>
      </c>
      <c r="G47">
        <f t="shared" si="6"/>
        <v>159</v>
      </c>
    </row>
    <row r="48" spans="1:8" x14ac:dyDescent="0.2">
      <c r="A48" t="s">
        <v>4</v>
      </c>
      <c r="B48" t="s">
        <v>77</v>
      </c>
      <c r="C48">
        <v>335</v>
      </c>
      <c r="D48" t="s">
        <v>117</v>
      </c>
      <c r="G48">
        <f t="shared" si="6"/>
        <v>0</v>
      </c>
    </row>
    <row r="49" spans="1:8" ht="29" x14ac:dyDescent="0.35">
      <c r="A49" s="2" t="s">
        <v>28</v>
      </c>
      <c r="B49" s="3"/>
      <c r="C49" s="3"/>
      <c r="D49" s="3"/>
      <c r="E49" s="3"/>
      <c r="F49" s="3"/>
      <c r="G49" s="6">
        <f>SUM(G50:G58)</f>
        <v>1463</v>
      </c>
      <c r="H49" s="3"/>
    </row>
    <row r="50" spans="1:8" x14ac:dyDescent="0.2">
      <c r="A50" t="s">
        <v>10</v>
      </c>
      <c r="B50" t="s">
        <v>11</v>
      </c>
      <c r="C50" t="s">
        <v>12</v>
      </c>
      <c r="E50">
        <v>1</v>
      </c>
      <c r="F50">
        <v>395</v>
      </c>
      <c r="G50">
        <f>E50*F50</f>
        <v>395</v>
      </c>
    </row>
    <row r="51" spans="1:8" x14ac:dyDescent="0.2">
      <c r="A51" t="s">
        <v>36</v>
      </c>
      <c r="E51">
        <v>1</v>
      </c>
      <c r="G51">
        <v>450</v>
      </c>
      <c r="H51" s="1" t="s">
        <v>37</v>
      </c>
    </row>
    <row r="52" spans="1:8" x14ac:dyDescent="0.2">
      <c r="A52" t="s">
        <v>201</v>
      </c>
      <c r="H52" s="1"/>
    </row>
    <row r="53" spans="1:8" x14ac:dyDescent="0.2">
      <c r="A53" t="s">
        <v>202</v>
      </c>
      <c r="H53" s="1"/>
    </row>
    <row r="54" spans="1:8" x14ac:dyDescent="0.2">
      <c r="A54" t="s">
        <v>203</v>
      </c>
      <c r="H54" s="1"/>
    </row>
    <row r="55" spans="1:8" x14ac:dyDescent="0.2">
      <c r="A55" t="s">
        <v>205</v>
      </c>
      <c r="C55" t="s">
        <v>206</v>
      </c>
      <c r="E55">
        <v>1</v>
      </c>
      <c r="F55">
        <v>279</v>
      </c>
      <c r="G55">
        <f>E55*F55</f>
        <v>279</v>
      </c>
      <c r="H55" s="1" t="s">
        <v>207</v>
      </c>
    </row>
    <row r="56" spans="1:8" x14ac:dyDescent="0.2">
      <c r="A56" t="s">
        <v>208</v>
      </c>
      <c r="E56">
        <v>1</v>
      </c>
      <c r="F56">
        <v>339</v>
      </c>
      <c r="G56">
        <f>E56*F56</f>
        <v>339</v>
      </c>
      <c r="H56" s="1"/>
    </row>
    <row r="57" spans="1:8" x14ac:dyDescent="0.2">
      <c r="H57" s="1"/>
    </row>
    <row r="58" spans="1:8" x14ac:dyDescent="0.2">
      <c r="G58">
        <f t="shared" si="3"/>
        <v>0</v>
      </c>
    </row>
    <row r="59" spans="1:8" ht="29" x14ac:dyDescent="0.35">
      <c r="A59" s="2" t="s">
        <v>31</v>
      </c>
      <c r="B59" s="3"/>
      <c r="C59" s="3"/>
      <c r="D59" s="3"/>
      <c r="E59" s="3"/>
      <c r="F59" s="3"/>
      <c r="G59" s="3">
        <f>SUM(G60:G62)</f>
        <v>0</v>
      </c>
      <c r="H59" s="3"/>
    </row>
    <row r="60" spans="1:8" x14ac:dyDescent="0.2">
      <c r="A60" t="s">
        <v>32</v>
      </c>
      <c r="C60" t="s">
        <v>33</v>
      </c>
      <c r="D60" t="s">
        <v>52</v>
      </c>
    </row>
    <row r="61" spans="1:8" x14ac:dyDescent="0.2">
      <c r="B61" t="s">
        <v>74</v>
      </c>
    </row>
    <row r="62" spans="1:8" x14ac:dyDescent="0.2">
      <c r="A62" t="s">
        <v>51</v>
      </c>
    </row>
    <row r="64" spans="1:8" x14ac:dyDescent="0.2">
      <c r="A64" t="s">
        <v>68</v>
      </c>
      <c r="B64" t="s">
        <v>69</v>
      </c>
      <c r="C64" t="s">
        <v>70</v>
      </c>
    </row>
    <row r="65" spans="2:2" x14ac:dyDescent="0.2">
      <c r="B65" t="s">
        <v>71</v>
      </c>
    </row>
    <row r="66" spans="2:2" x14ac:dyDescent="0.2">
      <c r="B66" s="7" t="s">
        <v>72</v>
      </c>
    </row>
    <row r="67" spans="2:2" x14ac:dyDescent="0.2">
      <c r="B67" t="s">
        <v>73</v>
      </c>
    </row>
  </sheetData>
  <phoneticPr fontId="4" type="noConversion"/>
  <hyperlinks>
    <hyperlink ref="H51" r:id="rId1" xr:uid="{C9BD59CA-0FA7-AF4E-887B-109C3195202B}"/>
    <hyperlink ref="H18" r:id="rId2" xr:uid="{662529A1-2CCE-524D-B130-AD577FB551C3}"/>
    <hyperlink ref="H15" r:id="rId3" xr:uid="{7C7AF172-CEB1-1B47-9EB1-73DFDE6FEC27}"/>
    <hyperlink ref="H25" r:id="rId4" xr:uid="{36350184-3FA6-4047-B2D3-2D4CC5CCA0EA}"/>
    <hyperlink ref="H24" r:id="rId5" xr:uid="{8EBFA46D-EEE3-E84C-BDAF-11467856F064}"/>
    <hyperlink ref="H35" r:id="rId6" xr:uid="{A1B91415-6F99-3E42-B2E7-8D9C9BF603EC}"/>
    <hyperlink ref="H28" r:id="rId7" xr:uid="{A27BC14D-826D-3343-BC7A-0EC571317C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60678-F9C4-BD46-8BEC-9D1E6786F941}">
  <dimension ref="A1:E10"/>
  <sheetViews>
    <sheetView workbookViewId="0">
      <selection activeCell="E7" sqref="E7"/>
    </sheetView>
  </sheetViews>
  <sheetFormatPr baseColWidth="10" defaultRowHeight="16" x14ac:dyDescent="0.2"/>
  <cols>
    <col min="1" max="1" width="23" bestFit="1" customWidth="1"/>
  </cols>
  <sheetData>
    <row r="1" spans="1:5" x14ac:dyDescent="0.2">
      <c r="A1" t="s">
        <v>53</v>
      </c>
      <c r="B1">
        <v>2700</v>
      </c>
      <c r="C1">
        <v>1740</v>
      </c>
    </row>
    <row r="2" spans="1:5" x14ac:dyDescent="0.2">
      <c r="A2" t="s">
        <v>54</v>
      </c>
      <c r="B2">
        <v>1880</v>
      </c>
      <c r="C2">
        <v>1350</v>
      </c>
    </row>
    <row r="3" spans="1:5" x14ac:dyDescent="0.2">
      <c r="A3" t="s">
        <v>55</v>
      </c>
      <c r="B3">
        <f>B1-B2</f>
        <v>820</v>
      </c>
      <c r="C3">
        <f>C1-C2</f>
        <v>390</v>
      </c>
    </row>
    <row r="4" spans="1:5" x14ac:dyDescent="0.2">
      <c r="A4" t="s">
        <v>67</v>
      </c>
      <c r="B4">
        <v>1830</v>
      </c>
      <c r="C4">
        <v>1040</v>
      </c>
    </row>
    <row r="6" spans="1:5" x14ac:dyDescent="0.2">
      <c r="B6" t="s">
        <v>57</v>
      </c>
      <c r="C6" t="s">
        <v>58</v>
      </c>
      <c r="D6" t="s">
        <v>6</v>
      </c>
      <c r="E6" t="s">
        <v>59</v>
      </c>
    </row>
    <row r="7" spans="1:5" x14ac:dyDescent="0.2">
      <c r="A7" t="s">
        <v>56</v>
      </c>
      <c r="B7">
        <v>800</v>
      </c>
      <c r="C7">
        <v>540</v>
      </c>
      <c r="D7">
        <f>B7+C7</f>
        <v>1340</v>
      </c>
      <c r="E7">
        <f>B2-D7</f>
        <v>540</v>
      </c>
    </row>
    <row r="8" spans="1:5" x14ac:dyDescent="0.2">
      <c r="A8" t="s">
        <v>61</v>
      </c>
      <c r="B8">
        <v>800</v>
      </c>
      <c r="C8">
        <v>420</v>
      </c>
    </row>
    <row r="9" spans="1:5" x14ac:dyDescent="0.2">
      <c r="A9" t="s">
        <v>60</v>
      </c>
      <c r="C9">
        <v>470</v>
      </c>
    </row>
    <row r="10" spans="1:5" x14ac:dyDescent="0.2">
      <c r="A10" t="s">
        <v>62</v>
      </c>
      <c r="B10">
        <v>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9AA1E-D28C-794B-B941-CF0F5A839224}">
  <dimension ref="A1:M47"/>
  <sheetViews>
    <sheetView workbookViewId="0">
      <selection activeCell="H38" sqref="H38"/>
    </sheetView>
  </sheetViews>
  <sheetFormatPr baseColWidth="10" defaultRowHeight="16" x14ac:dyDescent="0.2"/>
  <cols>
    <col min="1" max="1" width="13.6640625" bestFit="1" customWidth="1"/>
    <col min="2" max="2" width="13.6640625" customWidth="1"/>
    <col min="5" max="5" width="10.1640625" customWidth="1"/>
  </cols>
  <sheetData>
    <row r="1" spans="1:13" x14ac:dyDescent="0.2">
      <c r="A1" t="s">
        <v>93</v>
      </c>
      <c r="C1">
        <v>1840</v>
      </c>
      <c r="G1" t="s">
        <v>100</v>
      </c>
      <c r="I1">
        <v>1240</v>
      </c>
      <c r="J1">
        <v>1860</v>
      </c>
      <c r="L1">
        <v>553.5</v>
      </c>
    </row>
    <row r="2" spans="1:13" x14ac:dyDescent="0.2">
      <c r="A2" t="s">
        <v>94</v>
      </c>
      <c r="C2">
        <v>100</v>
      </c>
      <c r="G2" t="s">
        <v>120</v>
      </c>
      <c r="I2">
        <v>15</v>
      </c>
      <c r="J2">
        <v>10</v>
      </c>
      <c r="L2">
        <v>15</v>
      </c>
    </row>
    <row r="3" spans="1:13" x14ac:dyDescent="0.2">
      <c r="G3" t="s">
        <v>121</v>
      </c>
      <c r="I3">
        <v>38</v>
      </c>
      <c r="J3">
        <v>33</v>
      </c>
      <c r="L3">
        <v>38</v>
      </c>
    </row>
    <row r="4" spans="1:13" x14ac:dyDescent="0.2">
      <c r="G4" t="s">
        <v>125</v>
      </c>
      <c r="I4">
        <v>127.99999999999997</v>
      </c>
      <c r="J4">
        <v>21</v>
      </c>
      <c r="L4">
        <v>28.485999999999947</v>
      </c>
    </row>
    <row r="5" spans="1:13" x14ac:dyDescent="0.2">
      <c r="B5" t="s">
        <v>104</v>
      </c>
      <c r="C5">
        <v>14</v>
      </c>
      <c r="K5" t="s">
        <v>126</v>
      </c>
      <c r="L5">
        <f>3.464*L3</f>
        <v>131.63200000000001</v>
      </c>
    </row>
    <row r="6" spans="1:13" x14ac:dyDescent="0.2">
      <c r="B6" t="s">
        <v>112</v>
      </c>
      <c r="C6">
        <f>C5/360*2*PI()</f>
        <v>0.24434609527920614</v>
      </c>
      <c r="G6" t="s">
        <v>122</v>
      </c>
      <c r="H6">
        <v>10</v>
      </c>
      <c r="I6">
        <f>(I1-2*(I4-I2))/2/(I3+I2)</f>
        <v>9.566037735849056</v>
      </c>
      <c r="J6">
        <f>(J1-2*J3)/(J3+J2)-2</f>
        <v>39.720930232558139</v>
      </c>
      <c r="L6">
        <f>(L1-2*(L4-L2))/2/L5</f>
        <v>2.0000000000000004</v>
      </c>
      <c r="M6">
        <v>2</v>
      </c>
    </row>
    <row r="7" spans="1:13" x14ac:dyDescent="0.2">
      <c r="B7" t="s">
        <v>105</v>
      </c>
      <c r="C7">
        <f>SIN(C6)</f>
        <v>0.24192189559966773</v>
      </c>
    </row>
    <row r="8" spans="1:13" x14ac:dyDescent="0.2">
      <c r="B8" t="s">
        <v>106</v>
      </c>
      <c r="C8">
        <f>COS(C6)</f>
        <v>0.97029572627599647</v>
      </c>
      <c r="G8" t="s">
        <v>124</v>
      </c>
      <c r="I8">
        <f>2*FLOOR(H6,1)*(I3+I2)+2*(I4-I3)</f>
        <v>1240</v>
      </c>
      <c r="L8">
        <f>2*(L4-L2)+2*M6*L5</f>
        <v>553.49999999999989</v>
      </c>
    </row>
    <row r="9" spans="1:13" x14ac:dyDescent="0.2">
      <c r="G9" t="s">
        <v>123</v>
      </c>
      <c r="I9">
        <f>2*I3+I2</f>
        <v>91</v>
      </c>
    </row>
    <row r="10" spans="1:13" x14ac:dyDescent="0.2">
      <c r="A10" s="7" t="s">
        <v>114</v>
      </c>
      <c r="B10" s="7"/>
      <c r="C10" s="7"/>
    </row>
    <row r="11" spans="1:13" x14ac:dyDescent="0.2">
      <c r="A11" t="s">
        <v>95</v>
      </c>
      <c r="B11" t="s">
        <v>99</v>
      </c>
      <c r="C11" s="33">
        <v>513.57118938116514</v>
      </c>
    </row>
    <row r="12" spans="1:13" x14ac:dyDescent="0.2">
      <c r="B12" t="s">
        <v>97</v>
      </c>
      <c r="C12">
        <v>100</v>
      </c>
    </row>
    <row r="13" spans="1:13" x14ac:dyDescent="0.2">
      <c r="B13" t="s">
        <v>100</v>
      </c>
      <c r="C13">
        <v>800</v>
      </c>
    </row>
    <row r="14" spans="1:13" x14ac:dyDescent="0.2">
      <c r="B14" t="s">
        <v>101</v>
      </c>
      <c r="C14">
        <v>3</v>
      </c>
      <c r="G14" t="s">
        <v>100</v>
      </c>
      <c r="H14">
        <v>1240</v>
      </c>
      <c r="K14" t="s">
        <v>97</v>
      </c>
      <c r="L14">
        <v>553.5</v>
      </c>
    </row>
    <row r="15" spans="1:13" x14ac:dyDescent="0.2">
      <c r="B15" t="s">
        <v>103</v>
      </c>
      <c r="C15">
        <v>14</v>
      </c>
      <c r="G15" t="s">
        <v>127</v>
      </c>
      <c r="H15">
        <f>38+15</f>
        <v>53</v>
      </c>
      <c r="I15" t="s">
        <v>128</v>
      </c>
      <c r="K15" t="s">
        <v>127</v>
      </c>
      <c r="L15">
        <v>53</v>
      </c>
    </row>
    <row r="16" spans="1:13" x14ac:dyDescent="0.2">
      <c r="B16" t="s">
        <v>113</v>
      </c>
      <c r="C16">
        <f>C13-(C11+C12+2*C14)</f>
        <v>180.42881061883486</v>
      </c>
      <c r="G16" t="s">
        <v>113</v>
      </c>
      <c r="H16">
        <v>53</v>
      </c>
      <c r="K16" t="s">
        <v>126</v>
      </c>
      <c r="L16">
        <v>53</v>
      </c>
    </row>
    <row r="17" spans="2:13" x14ac:dyDescent="0.2">
      <c r="B17" t="s">
        <v>100</v>
      </c>
      <c r="C17">
        <f>C13-C11-C12</f>
        <v>186.42881061883486</v>
      </c>
    </row>
    <row r="18" spans="2:13" x14ac:dyDescent="0.2">
      <c r="G18" t="s">
        <v>122</v>
      </c>
      <c r="H18">
        <f>(H14-2*H15)/2/H15</f>
        <v>10.69811320754717</v>
      </c>
      <c r="I18">
        <v>10</v>
      </c>
      <c r="K18" t="s">
        <v>129</v>
      </c>
      <c r="L18">
        <f>(L14-2*L16-2*L15)/3.464/L15</f>
        <v>1.8601028367249119</v>
      </c>
      <c r="M18">
        <v>2</v>
      </c>
    </row>
    <row r="19" spans="2:13" x14ac:dyDescent="0.2">
      <c r="B19" t="s">
        <v>110</v>
      </c>
      <c r="C19" s="9">
        <f>C15*C8</f>
        <v>13.58414016786395</v>
      </c>
      <c r="G19" t="s">
        <v>113</v>
      </c>
      <c r="H19">
        <f>(H14-2*FLOOR(H18,1)*H15)/2</f>
        <v>90</v>
      </c>
      <c r="K19" t="s">
        <v>126</v>
      </c>
      <c r="L19">
        <f>(L14-2*(ROUND(L18,0)*1.732+1)*L15)/2</f>
        <v>40.157999999999987</v>
      </c>
    </row>
    <row r="20" spans="2:13" x14ac:dyDescent="0.2">
      <c r="B20" t="s">
        <v>111</v>
      </c>
      <c r="C20" s="9">
        <f>C17-C19-C15-3*C14</f>
        <v>149.84467045097091</v>
      </c>
      <c r="D20" s="8">
        <f>C16-C15-C14-C19</f>
        <v>149.84467045097091</v>
      </c>
    </row>
    <row r="21" spans="2:13" x14ac:dyDescent="0.2">
      <c r="B21" t="s">
        <v>115</v>
      </c>
      <c r="C21" s="9">
        <f>C15*C7</f>
        <v>3.3869065383953481</v>
      </c>
      <c r="D21" s="8"/>
      <c r="G21" t="s">
        <v>100</v>
      </c>
      <c r="H21">
        <f>2*I18*H15+2*H16</f>
        <v>1166</v>
      </c>
      <c r="K21" t="s">
        <v>97</v>
      </c>
      <c r="L21">
        <f>2*L19+2*ROUND(L18,0)*L15*1.732+2*L15</f>
        <v>553.5</v>
      </c>
      <c r="M21">
        <f>ROUND(L18,0)</f>
        <v>2</v>
      </c>
    </row>
    <row r="23" spans="2:13" x14ac:dyDescent="0.2">
      <c r="B23" t="s">
        <v>98</v>
      </c>
      <c r="C23" s="8">
        <f>C11+C12+3*C14</f>
        <v>622.57118938116514</v>
      </c>
    </row>
    <row r="24" spans="2:13" x14ac:dyDescent="0.2">
      <c r="B24" t="s">
        <v>107</v>
      </c>
      <c r="C24" s="8">
        <f>C13-C23-C15*(1+C8)</f>
        <v>149.84467045097091</v>
      </c>
    </row>
    <row r="25" spans="2:13" x14ac:dyDescent="0.2">
      <c r="B25" t="s">
        <v>102</v>
      </c>
      <c r="C25" s="8">
        <f>C24/C7</f>
        <v>619.39275930167901</v>
      </c>
      <c r="D25" s="8">
        <f>D20/C7</f>
        <v>619.39275930167901</v>
      </c>
    </row>
    <row r="26" spans="2:13" x14ac:dyDescent="0.2">
      <c r="B26" t="s">
        <v>108</v>
      </c>
      <c r="C26" s="8">
        <f>C1-C23-C25</f>
        <v>598.03605131715585</v>
      </c>
      <c r="D26" s="8">
        <f>C1-C11-C12-3*C14-C20/C7</f>
        <v>598.03605131715585</v>
      </c>
      <c r="E26" s="9">
        <f>SQRT(D25*D25-D20*D20)-C21</f>
        <v>597.60724069832077</v>
      </c>
    </row>
    <row r="28" spans="2:13" x14ac:dyDescent="0.2">
      <c r="B28" t="s">
        <v>109</v>
      </c>
      <c r="C28" s="10">
        <f>C1-C11-C12-3*C14</f>
        <v>1217.4288106188349</v>
      </c>
      <c r="D28" s="8">
        <f>D25+D26</f>
        <v>1217.4288106188349</v>
      </c>
      <c r="E28" s="34">
        <f>D25+E26</f>
        <v>1216.9999999999998</v>
      </c>
    </row>
    <row r="29" spans="2:13" x14ac:dyDescent="0.2">
      <c r="B29" t="s">
        <v>109</v>
      </c>
      <c r="C29" s="8">
        <f>C1-C23</f>
        <v>1217.4288106188349</v>
      </c>
    </row>
    <row r="30" spans="2:13" x14ac:dyDescent="0.2">
      <c r="B30" t="s">
        <v>32</v>
      </c>
      <c r="C30">
        <f>C11+C25+C26+C12+3*C14</f>
        <v>1840</v>
      </c>
    </row>
    <row r="34" spans="2:8" x14ac:dyDescent="0.2">
      <c r="B34" t="s">
        <v>93</v>
      </c>
      <c r="C34">
        <v>1880</v>
      </c>
      <c r="D34">
        <v>1880</v>
      </c>
      <c r="E34">
        <v>1860</v>
      </c>
      <c r="F34">
        <v>1860</v>
      </c>
      <c r="G34">
        <v>1840</v>
      </c>
      <c r="H34">
        <v>1840</v>
      </c>
    </row>
    <row r="35" spans="2:8" x14ac:dyDescent="0.2">
      <c r="B35" t="s">
        <v>104</v>
      </c>
      <c r="C35">
        <v>15</v>
      </c>
      <c r="D35">
        <v>14</v>
      </c>
      <c r="E35">
        <v>14</v>
      </c>
      <c r="F35">
        <v>15</v>
      </c>
      <c r="G35">
        <v>15</v>
      </c>
      <c r="H35">
        <v>14</v>
      </c>
    </row>
    <row r="36" spans="2:8" x14ac:dyDescent="0.2">
      <c r="B36" t="s">
        <v>116</v>
      </c>
      <c r="C36">
        <v>541</v>
      </c>
      <c r="D36">
        <v>553.5</v>
      </c>
      <c r="E36">
        <v>565.5</v>
      </c>
      <c r="F36">
        <v>553.5</v>
      </c>
      <c r="G36">
        <v>556.5</v>
      </c>
      <c r="H36">
        <v>513.5</v>
      </c>
    </row>
    <row r="37" spans="2:8" x14ac:dyDescent="0.2">
      <c r="B37" t="s">
        <v>100</v>
      </c>
      <c r="C37">
        <v>850</v>
      </c>
      <c r="D37">
        <v>850</v>
      </c>
      <c r="E37">
        <v>850</v>
      </c>
      <c r="F37">
        <v>850</v>
      </c>
      <c r="G37">
        <v>850</v>
      </c>
      <c r="H37">
        <v>800</v>
      </c>
    </row>
    <row r="47" spans="2:8" x14ac:dyDescent="0.2">
      <c r="E47" t="s">
        <v>216</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F671-4B8F-8E42-AD55-8286FE3612F4}">
  <dimension ref="A1:C10"/>
  <sheetViews>
    <sheetView workbookViewId="0">
      <selection activeCell="A3" sqref="A3"/>
    </sheetView>
  </sheetViews>
  <sheetFormatPr baseColWidth="10" defaultRowHeight="16" x14ac:dyDescent="0.2"/>
  <cols>
    <col min="1" max="1" width="15.33203125" bestFit="1" customWidth="1"/>
  </cols>
  <sheetData>
    <row r="1" spans="1:3" x14ac:dyDescent="0.2">
      <c r="A1" t="s">
        <v>137</v>
      </c>
    </row>
    <row r="5" spans="1:3" x14ac:dyDescent="0.2">
      <c r="C5" t="s">
        <v>139</v>
      </c>
    </row>
    <row r="6" spans="1:3" x14ac:dyDescent="0.2">
      <c r="A6" t="s">
        <v>138</v>
      </c>
      <c r="C6">
        <v>17</v>
      </c>
    </row>
    <row r="8" spans="1:3" x14ac:dyDescent="0.2">
      <c r="A8" t="s">
        <v>140</v>
      </c>
      <c r="B8" t="s">
        <v>143</v>
      </c>
      <c r="C8" t="s">
        <v>141</v>
      </c>
    </row>
    <row r="9" spans="1:3" x14ac:dyDescent="0.2">
      <c r="A9" t="s">
        <v>142</v>
      </c>
      <c r="B9">
        <v>16</v>
      </c>
      <c r="C9">
        <v>38</v>
      </c>
    </row>
    <row r="10" spans="1:3" x14ac:dyDescent="0.2">
      <c r="A10" t="s">
        <v>144</v>
      </c>
      <c r="B10">
        <v>16</v>
      </c>
      <c r="C10">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BE156-1049-9F4E-8884-932E892468D1}">
  <dimension ref="A1:M35"/>
  <sheetViews>
    <sheetView workbookViewId="0">
      <selection activeCell="A55" sqref="A55"/>
    </sheetView>
  </sheetViews>
  <sheetFormatPr baseColWidth="10" defaultColWidth="8.83203125" defaultRowHeight="15" x14ac:dyDescent="0.2"/>
  <cols>
    <col min="1" max="1" width="19.1640625" style="11" bestFit="1" customWidth="1"/>
    <col min="2" max="2" width="7.5" style="11" bestFit="1" customWidth="1"/>
    <col min="3" max="3" width="6.83203125" style="11" bestFit="1" customWidth="1"/>
    <col min="4" max="4" width="18" style="11" bestFit="1" customWidth="1"/>
    <col min="5" max="5" width="14.6640625" style="11" bestFit="1" customWidth="1"/>
    <col min="6" max="6" width="14.5" style="11" bestFit="1" customWidth="1"/>
    <col min="7" max="16384" width="8.83203125" style="11"/>
  </cols>
  <sheetData>
    <row r="1" spans="1:13" x14ac:dyDescent="0.2">
      <c r="A1" s="32" t="s">
        <v>190</v>
      </c>
      <c r="B1" s="32" t="s">
        <v>189</v>
      </c>
      <c r="C1" s="32" t="s">
        <v>182</v>
      </c>
      <c r="D1" s="32" t="s">
        <v>188</v>
      </c>
      <c r="E1" s="32" t="s">
        <v>187</v>
      </c>
      <c r="F1" s="32" t="s">
        <v>186</v>
      </c>
      <c r="K1" s="11" t="s">
        <v>185</v>
      </c>
    </row>
    <row r="2" spans="1:13" x14ac:dyDescent="0.2">
      <c r="A2" s="28" t="s">
        <v>184</v>
      </c>
      <c r="B2" s="30">
        <v>45</v>
      </c>
      <c r="C2" s="29">
        <f>B2/12</f>
        <v>3.75</v>
      </c>
      <c r="D2" s="29">
        <f>SUM(24*0.25)</f>
        <v>6</v>
      </c>
      <c r="E2" s="30">
        <f t="shared" ref="E2:E10" si="0">B2*D2</f>
        <v>270</v>
      </c>
      <c r="F2" s="29">
        <f t="shared" ref="F2:F10" si="1">C2*D2</f>
        <v>22.5</v>
      </c>
      <c r="G2" s="11" t="s">
        <v>183</v>
      </c>
      <c r="K2" s="31">
        <f>SUM(C2:C11)</f>
        <v>363.88333333333338</v>
      </c>
      <c r="L2" s="11" t="s">
        <v>182</v>
      </c>
    </row>
    <row r="3" spans="1:13" x14ac:dyDescent="0.2">
      <c r="A3" s="28" t="s">
        <v>181</v>
      </c>
      <c r="B3" s="30">
        <v>12</v>
      </c>
      <c r="C3" s="29">
        <v>0.6</v>
      </c>
      <c r="D3" s="29">
        <v>8</v>
      </c>
      <c r="E3" s="30">
        <f t="shared" si="0"/>
        <v>96</v>
      </c>
      <c r="F3" s="29">
        <f t="shared" si="1"/>
        <v>4.8</v>
      </c>
      <c r="G3" s="11" t="s">
        <v>180</v>
      </c>
    </row>
    <row r="4" spans="1:13" x14ac:dyDescent="0.2">
      <c r="A4" s="28" t="s">
        <v>179</v>
      </c>
      <c r="B4" s="30">
        <v>1700</v>
      </c>
      <c r="C4" s="29">
        <f>B4/12</f>
        <v>141.66666666666666</v>
      </c>
      <c r="D4" s="29">
        <v>0.33</v>
      </c>
      <c r="E4" s="30">
        <f t="shared" si="0"/>
        <v>561</v>
      </c>
      <c r="F4" s="29">
        <f t="shared" si="1"/>
        <v>46.75</v>
      </c>
      <c r="G4" s="11" t="s">
        <v>178</v>
      </c>
    </row>
    <row r="5" spans="1:13" x14ac:dyDescent="0.2">
      <c r="A5" s="28" t="s">
        <v>177</v>
      </c>
      <c r="B5" s="30">
        <v>1800</v>
      </c>
      <c r="C5" s="29">
        <f>B5/12</f>
        <v>150</v>
      </c>
      <c r="D5" s="29">
        <v>0.25</v>
      </c>
      <c r="E5" s="30">
        <f t="shared" si="0"/>
        <v>450</v>
      </c>
      <c r="F5" s="29">
        <f t="shared" si="1"/>
        <v>37.5</v>
      </c>
      <c r="G5" s="11" t="s">
        <v>176</v>
      </c>
    </row>
    <row r="6" spans="1:13" x14ac:dyDescent="0.2">
      <c r="A6" s="28" t="s">
        <v>175</v>
      </c>
      <c r="B6" s="30">
        <v>800</v>
      </c>
      <c r="C6" s="29">
        <f>B6/12</f>
        <v>66.666666666666671</v>
      </c>
      <c r="D6" s="29">
        <v>0.17</v>
      </c>
      <c r="E6" s="30">
        <f t="shared" si="0"/>
        <v>136</v>
      </c>
      <c r="F6" s="29">
        <f t="shared" si="1"/>
        <v>11.333333333333336</v>
      </c>
      <c r="G6" s="11" t="s">
        <v>174</v>
      </c>
    </row>
    <row r="7" spans="1:13" x14ac:dyDescent="0.2">
      <c r="A7" s="28" t="s">
        <v>173</v>
      </c>
      <c r="B7" s="28">
        <v>6</v>
      </c>
      <c r="C7" s="28">
        <v>0.5</v>
      </c>
      <c r="D7" s="29">
        <v>6</v>
      </c>
      <c r="E7" s="30">
        <f t="shared" si="0"/>
        <v>36</v>
      </c>
      <c r="F7" s="29">
        <f t="shared" si="1"/>
        <v>3</v>
      </c>
    </row>
    <row r="8" spans="1:13" x14ac:dyDescent="0.2">
      <c r="A8" s="28" t="s">
        <v>172</v>
      </c>
      <c r="B8" s="28">
        <v>1.2</v>
      </c>
      <c r="C8" s="28">
        <v>0.1</v>
      </c>
      <c r="D8" s="29">
        <v>24</v>
      </c>
      <c r="E8" s="30">
        <f t="shared" si="0"/>
        <v>28.799999999999997</v>
      </c>
      <c r="F8" s="29">
        <f t="shared" si="1"/>
        <v>2.4000000000000004</v>
      </c>
    </row>
    <row r="9" spans="1:13" x14ac:dyDescent="0.2">
      <c r="A9" s="28" t="s">
        <v>171</v>
      </c>
      <c r="B9" s="28">
        <v>7.5</v>
      </c>
      <c r="C9" s="28">
        <v>0.6</v>
      </c>
      <c r="D9" s="29">
        <v>10</v>
      </c>
      <c r="E9" s="28">
        <f t="shared" si="0"/>
        <v>75</v>
      </c>
      <c r="F9" s="28">
        <f t="shared" si="1"/>
        <v>6</v>
      </c>
      <c r="G9" s="11" t="s">
        <v>170</v>
      </c>
    </row>
    <row r="10" spans="1:13" x14ac:dyDescent="0.2">
      <c r="A10" s="28"/>
      <c r="B10" s="30"/>
      <c r="C10" s="29">
        <f>B10/12</f>
        <v>0</v>
      </c>
      <c r="D10" s="29"/>
      <c r="E10" s="28">
        <f t="shared" si="0"/>
        <v>0</v>
      </c>
      <c r="F10" s="29">
        <f t="shared" si="1"/>
        <v>0</v>
      </c>
    </row>
    <row r="11" spans="1:13" x14ac:dyDescent="0.2">
      <c r="A11" s="28"/>
      <c r="B11" s="28"/>
      <c r="C11" s="28"/>
      <c r="D11" s="28"/>
      <c r="E11" s="28"/>
      <c r="F11" s="28"/>
    </row>
    <row r="12" spans="1:13" x14ac:dyDescent="0.2">
      <c r="D12" s="23" t="s">
        <v>6</v>
      </c>
      <c r="E12" s="27">
        <f>SUM(E2:E11)</f>
        <v>1652.8</v>
      </c>
      <c r="F12" s="26">
        <f>SUM(F2:F11)</f>
        <v>134.28333333333333</v>
      </c>
    </row>
    <row r="13" spans="1:13" x14ac:dyDescent="0.2">
      <c r="L13" s="11" t="s">
        <v>169</v>
      </c>
      <c r="M13" s="25" t="s">
        <v>168</v>
      </c>
    </row>
    <row r="14" spans="1:13" x14ac:dyDescent="0.2">
      <c r="A14" s="11" t="s">
        <v>167</v>
      </c>
      <c r="C14" s="24">
        <v>3</v>
      </c>
      <c r="E14" s="23" t="s">
        <v>166</v>
      </c>
      <c r="F14" s="22">
        <f>F12*C14</f>
        <v>402.85</v>
      </c>
      <c r="J14" s="21" t="s">
        <v>165</v>
      </c>
      <c r="K14" s="11" t="s">
        <v>163</v>
      </c>
      <c r="L14" s="20">
        <v>140</v>
      </c>
      <c r="M14" s="18">
        <f>L14*0.5/F12</f>
        <v>0.52128583840139009</v>
      </c>
    </row>
    <row r="15" spans="1:13" x14ac:dyDescent="0.2">
      <c r="K15" s="11" t="s">
        <v>162</v>
      </c>
      <c r="L15" s="19">
        <v>400</v>
      </c>
      <c r="M15" s="18">
        <f>L15*0.8/F12</f>
        <v>2.3830209755492118</v>
      </c>
    </row>
    <row r="16" spans="1:13" x14ac:dyDescent="0.2">
      <c r="A16" s="11" t="s">
        <v>164</v>
      </c>
      <c r="B16" s="11" t="s">
        <v>163</v>
      </c>
      <c r="C16" s="17">
        <f>F14*2</f>
        <v>805.7</v>
      </c>
      <c r="D16" s="11" t="s">
        <v>161</v>
      </c>
    </row>
    <row r="17" spans="1:6" x14ac:dyDescent="0.2">
      <c r="B17" s="11" t="s">
        <v>162</v>
      </c>
      <c r="C17" s="16">
        <f>F14*10/8</f>
        <v>503.5625</v>
      </c>
      <c r="D17" s="11" t="s">
        <v>161</v>
      </c>
      <c r="E17" s="15" t="s">
        <v>160</v>
      </c>
      <c r="F17" s="14">
        <f>K2/C17</f>
        <v>0.72261801332174935</v>
      </c>
    </row>
    <row r="18" spans="1:6" x14ac:dyDescent="0.2">
      <c r="E18" s="11" t="s">
        <v>159</v>
      </c>
    </row>
    <row r="21" spans="1:6" x14ac:dyDescent="0.2">
      <c r="A21" s="11" t="s">
        <v>158</v>
      </c>
    </row>
    <row r="22" spans="1:6" x14ac:dyDescent="0.2">
      <c r="A22" s="11" t="s">
        <v>157</v>
      </c>
    </row>
    <row r="23" spans="1:6" x14ac:dyDescent="0.2">
      <c r="A23" s="11" t="s">
        <v>156</v>
      </c>
    </row>
    <row r="24" spans="1:6" x14ac:dyDescent="0.2">
      <c r="A24" s="11" t="s">
        <v>155</v>
      </c>
    </row>
    <row r="25" spans="1:6" x14ac:dyDescent="0.2">
      <c r="A25" s="11" t="s">
        <v>154</v>
      </c>
    </row>
    <row r="26" spans="1:6" x14ac:dyDescent="0.2">
      <c r="B26" s="13" t="s">
        <v>153</v>
      </c>
    </row>
    <row r="27" spans="1:6" x14ac:dyDescent="0.2">
      <c r="A27" s="12" t="s">
        <v>152</v>
      </c>
    </row>
    <row r="28" spans="1:6" x14ac:dyDescent="0.2">
      <c r="B28" s="11" t="s">
        <v>151</v>
      </c>
    </row>
    <row r="29" spans="1:6" x14ac:dyDescent="0.2">
      <c r="C29" s="11" t="s">
        <v>150</v>
      </c>
    </row>
    <row r="30" spans="1:6" x14ac:dyDescent="0.2">
      <c r="C30" s="11" t="s">
        <v>149</v>
      </c>
    </row>
    <row r="32" spans="1:6" ht="16" x14ac:dyDescent="0.2">
      <c r="A32" s="12" t="s">
        <v>148</v>
      </c>
    </row>
    <row r="33" spans="3:3" x14ac:dyDescent="0.2">
      <c r="C33" s="11" t="s">
        <v>147</v>
      </c>
    </row>
    <row r="34" spans="3:3" x14ac:dyDescent="0.2">
      <c r="C34" s="11" t="s">
        <v>146</v>
      </c>
    </row>
    <row r="35" spans="3:3" x14ac:dyDescent="0.2">
      <c r="C35" s="11" t="s">
        <v>145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Van Specs</vt:lpstr>
      <vt:lpstr>SofaBed</vt:lpstr>
      <vt:lpstr>Ply</vt:lpstr>
      <vt:lpstr>Electrical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Kladnig</dc:creator>
  <cp:lastModifiedBy>Adrian Kladnig</cp:lastModifiedBy>
  <dcterms:created xsi:type="dcterms:W3CDTF">2023-11-17T07:37:06Z</dcterms:created>
  <dcterms:modified xsi:type="dcterms:W3CDTF">2025-04-05T02:18:12Z</dcterms:modified>
</cp:coreProperties>
</file>